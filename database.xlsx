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serena/Desktop/Hunter CRM/"/>
    </mc:Choice>
  </mc:AlternateContent>
  <xr:revisionPtr revIDLastSave="0" documentId="13_ncr:1_{B05250FA-1649-E245-92D4-28D0DA72B1FF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audience_daily_snapshot" sheetId="1" r:id="rId1"/>
    <sheet name="field_notes" sheetId="2" r:id="rId2"/>
  </sheets>
  <definedNames>
    <definedName name="_xlnm._FilterDatabase" localSheetId="0" hidden="1">audience_daily_snapshot!$A$1:$M$4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1" l="1"/>
  <c r="E29" i="1"/>
  <c r="G11" i="1"/>
</calcChain>
</file>

<file path=xl/sharedStrings.xml><?xml version="1.0" encoding="utf-8"?>
<sst xmlns="http://schemas.openxmlformats.org/spreadsheetml/2006/main" count="89" uniqueCount="46">
  <si>
    <t>date</t>
  </si>
  <si>
    <t>customer_type</t>
  </si>
  <si>
    <t>active_audience</t>
  </si>
  <si>
    <t>new_imports</t>
  </si>
  <si>
    <t>entered_journey</t>
  </si>
  <si>
    <t>unsubscribes</t>
  </si>
  <si>
    <t>Reservation</t>
  </si>
  <si>
    <t>Build</t>
  </si>
  <si>
    <t>EOI</t>
  </si>
  <si>
    <t>field</t>
  </si>
  <si>
    <t>description</t>
  </si>
  <si>
    <t>Snapshot date. Daily is best; weekly also works if consistent.</t>
  </si>
  <si>
    <t>One of the fixed customer types.</t>
  </si>
  <si>
    <t>Current subscribed/marketable contacts in this customer type.</t>
  </si>
  <si>
    <t>Contacts newly added/imported on this date.</t>
  </si>
  <si>
    <t>New contacts who entered the current active journey stage.</t>
  </si>
  <si>
    <t>Contacts who unsubscribed on this date.</t>
  </si>
  <si>
    <t>campaign_name</t>
  </si>
  <si>
    <t>sent</t>
  </si>
  <si>
    <t>delivered</t>
  </si>
  <si>
    <t>opens</t>
  </si>
  <si>
    <t>opene_rate</t>
  </si>
  <si>
    <t>clicks</t>
  </si>
  <si>
    <t xml:space="preserve"> click_rate</t>
  </si>
  <si>
    <t>unsubscribe_rate</t>
  </si>
  <si>
    <t>bounces</t>
  </si>
  <si>
    <t>bounce_rate</t>
  </si>
  <si>
    <t>EDM #2: What to Expect (EOI)</t>
  </si>
  <si>
    <t>EDM #2: What to Expect (Reservation)</t>
  </si>
  <si>
    <t>EDM #2: What to Expect (Build)</t>
  </si>
  <si>
    <t>Reservation_SMS</t>
  </si>
  <si>
    <t>SMS #1 What to Expect (Reservation)</t>
  </si>
  <si>
    <t>EOI&amp;build</t>
  </si>
  <si>
    <t>SMS #1 What to Expect (EOI &amp; Build)</t>
  </si>
  <si>
    <t>EDM #3: What does 360kW of power mean? (Reservation)</t>
  </si>
  <si>
    <t>EDM #3: What does 360kW of power mean? (Build)</t>
  </si>
  <si>
    <t>EDM #3: Hunter Pro vs Hunter X (EOI)</t>
  </si>
  <si>
    <t>EDM #4: Battery Charging (Build)</t>
  </si>
  <si>
    <t>EDM #4: Battery Charging (EOI)</t>
  </si>
  <si>
    <t>EDM #4: Battery Charging (Reserve)</t>
  </si>
  <si>
    <t>EDM #3: What does 360kW of power mean? (EOI)</t>
  </si>
  <si>
    <t>EDM #3: Hunter Pro vs Hunter X (Build)</t>
  </si>
  <si>
    <t>EDM #5: Off-Road Capability (Reservation)</t>
  </si>
  <si>
    <t>EDM #6: JAC Genuine Accessories (Reserve)</t>
  </si>
  <si>
    <t>EDM #5: Off-Road Capability (Build)</t>
  </si>
  <si>
    <t>EDM #5: Off-Road Capability (EOI)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</si>
</sst>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/>
    </xf>
    <xf numFmtId="10" fontId="0" fillId="0" borderId="0" xfId="0" applyNumberFormat="1"/>
    <xf numFmtId="9" fontId="0" fillId="0" borderId="0" xfId="0" applyNumberFormat="1"/>
    <xf numFmtId="164" fontId="0" fillId="0" borderId="0" xfId="0" applyNumberFormat="1"/>
    <xf numFmtId="164" fontId="0" fillId="0" borderId="0" xfId="0" applyNumberFormat="1" applyFill="1"/>
    <xf numFmtId="0" fontId="0" fillId="0" borderId="0" xfId="0" applyFill="1"/>
    <xf numFmtId="10" fontId="0" fillId="0" borderId="0" xfId="0" applyNumberFormat="1" applyFill="1"/>
    <xf numFmtId="9" fontId="0" fillId="0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1"/>
  <sheetViews>
    <sheetView tabSelected="1" topLeftCell="N1" zoomScale="200" zoomScaleNormal="200" workbookViewId="0">
      <pane ySplit="1" topLeftCell="A16" activePane="bottomLeft" state="frozen"/>
      <selection pane="bottomLeft" activeCell="A23" sqref="A23:XFD27"/>
    </sheetView>
  </sheetViews>
  <sheetFormatPr baseColWidth="10" defaultColWidth="8.83203125" defaultRowHeight="15" x14ac:dyDescent="0.2"/>
  <cols>
    <col min="1" max="1" width="14" customWidth="1"/>
    <col min="2" max="2" width="15" customWidth="1"/>
    <col min="3" max="3" width="42.1640625" customWidth="1"/>
    <col min="4" max="4" width="17" customWidth="1"/>
    <col min="5" max="8" width="14" customWidth="1"/>
    <col min="9" max="12" width="17" customWidth="1"/>
    <col min="13" max="13" width="14" customWidth="1"/>
    <col min="14" max="15" width="17" customWidth="1"/>
  </cols>
  <sheetData>
    <row r="1" spans="1:15" x14ac:dyDescent="0.2">
      <c r="A1" s="1" t="s">
        <v>0</v>
      </c>
      <c r="B1" s="1" t="s">
        <v>1</v>
      </c>
      <c r="C1" s="4" t="s">
        <v>17</v>
      </c>
      <c r="D1" s="1" t="s">
        <v>2</v>
      </c>
      <c r="E1" s="1" t="s">
        <v>3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5</v>
      </c>
      <c r="M1" s="1" t="s">
        <v>24</v>
      </c>
      <c r="N1" s="1" t="s">
        <v>25</v>
      </c>
      <c r="O1" s="1" t="s">
        <v>26</v>
      </c>
    </row>
    <row r="2" spans="1:15" x14ac:dyDescent="0.2">
      <c r="A2" s="7">
        <v>46170</v>
      </c>
      <c r="B2" t="s">
        <v>6</v>
      </c>
      <c r="C2" t="s">
        <v>28</v>
      </c>
      <c r="D2">
        <v>68</v>
      </c>
      <c r="E2">
        <v>0</v>
      </c>
      <c r="F2">
        <v>68</v>
      </c>
      <c r="G2">
        <v>68</v>
      </c>
      <c r="H2">
        <v>137</v>
      </c>
      <c r="I2" s="5">
        <v>0.80879999999999996</v>
      </c>
      <c r="J2">
        <v>19</v>
      </c>
      <c r="K2" s="5">
        <v>0.27900000000000003</v>
      </c>
      <c r="L2">
        <v>2</v>
      </c>
      <c r="M2" s="5">
        <v>2.9399999999999999E-2</v>
      </c>
      <c r="N2">
        <v>0</v>
      </c>
      <c r="O2" s="6">
        <v>0</v>
      </c>
    </row>
    <row r="3" spans="1:15" x14ac:dyDescent="0.2">
      <c r="A3" s="7">
        <v>46170</v>
      </c>
      <c r="B3" t="s">
        <v>7</v>
      </c>
      <c r="C3" t="s">
        <v>29</v>
      </c>
      <c r="D3">
        <v>102</v>
      </c>
      <c r="E3">
        <v>0</v>
      </c>
      <c r="F3">
        <v>102</v>
      </c>
      <c r="G3">
        <v>102</v>
      </c>
      <c r="H3">
        <v>72</v>
      </c>
      <c r="I3" s="5">
        <v>0.314</v>
      </c>
      <c r="J3">
        <v>14</v>
      </c>
      <c r="K3" s="5">
        <v>0.13730000000000001</v>
      </c>
      <c r="L3">
        <v>0</v>
      </c>
      <c r="M3" s="6">
        <v>0</v>
      </c>
      <c r="N3">
        <v>0</v>
      </c>
      <c r="O3" s="6">
        <v>0</v>
      </c>
    </row>
    <row r="4" spans="1:15" x14ac:dyDescent="0.2">
      <c r="A4" s="7">
        <v>46170</v>
      </c>
      <c r="B4" t="s">
        <v>8</v>
      </c>
      <c r="C4" t="s">
        <v>27</v>
      </c>
      <c r="D4">
        <v>867</v>
      </c>
      <c r="E4">
        <v>0</v>
      </c>
      <c r="F4">
        <v>867</v>
      </c>
      <c r="G4">
        <v>866</v>
      </c>
      <c r="H4">
        <v>750</v>
      </c>
      <c r="I4" s="5">
        <v>0.47920000000000001</v>
      </c>
      <c r="J4">
        <v>92</v>
      </c>
      <c r="K4" s="5">
        <v>0.1062</v>
      </c>
      <c r="L4">
        <v>6</v>
      </c>
      <c r="M4" s="5">
        <v>6.8999999999999999E-3</v>
      </c>
      <c r="N4">
        <v>1</v>
      </c>
      <c r="O4" s="5">
        <v>1.1999999999999999E-3</v>
      </c>
    </row>
    <row r="5" spans="1:15" x14ac:dyDescent="0.2">
      <c r="A5" s="7">
        <v>46170</v>
      </c>
      <c r="B5" t="s">
        <v>30</v>
      </c>
      <c r="C5" t="s">
        <v>31</v>
      </c>
      <c r="D5">
        <v>68</v>
      </c>
      <c r="E5">
        <v>0</v>
      </c>
      <c r="F5">
        <v>68</v>
      </c>
      <c r="G5">
        <v>66</v>
      </c>
      <c r="J5">
        <v>38</v>
      </c>
      <c r="K5" s="5">
        <v>0.57599999999999996</v>
      </c>
      <c r="L5">
        <v>0</v>
      </c>
      <c r="M5" s="6">
        <v>0</v>
      </c>
    </row>
    <row r="6" spans="1:15" x14ac:dyDescent="0.2">
      <c r="A6" s="7">
        <v>46170</v>
      </c>
      <c r="B6" t="s">
        <v>32</v>
      </c>
      <c r="C6" t="s">
        <v>33</v>
      </c>
      <c r="D6">
        <v>752</v>
      </c>
      <c r="E6">
        <v>0</v>
      </c>
      <c r="F6">
        <v>752</v>
      </c>
      <c r="G6">
        <v>733</v>
      </c>
      <c r="J6">
        <v>302</v>
      </c>
      <c r="K6" s="5">
        <v>0.41199999999999998</v>
      </c>
      <c r="L6">
        <v>25</v>
      </c>
      <c r="M6" s="5">
        <v>3.4000000000000002E-2</v>
      </c>
    </row>
    <row r="7" spans="1:15" x14ac:dyDescent="0.2">
      <c r="A7" s="7">
        <v>46177</v>
      </c>
      <c r="B7" t="s">
        <v>6</v>
      </c>
      <c r="C7" t="s">
        <v>34</v>
      </c>
      <c r="D7">
        <v>69</v>
      </c>
      <c r="E7">
        <v>3</v>
      </c>
      <c r="F7">
        <v>69</v>
      </c>
      <c r="G7">
        <v>69</v>
      </c>
      <c r="H7">
        <v>50</v>
      </c>
      <c r="I7" s="5">
        <v>0.72499999999999998</v>
      </c>
      <c r="J7">
        <v>22</v>
      </c>
      <c r="K7" s="5">
        <v>0.31900000000000001</v>
      </c>
      <c r="L7">
        <v>0</v>
      </c>
      <c r="M7" s="6">
        <v>0</v>
      </c>
      <c r="N7">
        <v>0</v>
      </c>
      <c r="O7" s="6">
        <v>0</v>
      </c>
    </row>
    <row r="8" spans="1:15" x14ac:dyDescent="0.2">
      <c r="A8" s="7">
        <v>46177</v>
      </c>
      <c r="B8" t="s">
        <v>7</v>
      </c>
      <c r="C8" t="s">
        <v>35</v>
      </c>
      <c r="D8">
        <v>110</v>
      </c>
      <c r="E8">
        <v>7</v>
      </c>
      <c r="F8">
        <v>110</v>
      </c>
      <c r="G8">
        <v>110</v>
      </c>
      <c r="H8">
        <v>32</v>
      </c>
      <c r="I8" s="5">
        <v>0.29099999999999998</v>
      </c>
      <c r="J8">
        <v>8</v>
      </c>
      <c r="K8" s="5">
        <v>7.2999999999999995E-2</v>
      </c>
      <c r="L8">
        <v>1</v>
      </c>
      <c r="M8" s="5">
        <v>9.1000000000000004E-3</v>
      </c>
      <c r="N8">
        <v>0</v>
      </c>
      <c r="O8" s="6">
        <v>0</v>
      </c>
    </row>
    <row r="9" spans="1:15" x14ac:dyDescent="0.2">
      <c r="A9" s="7">
        <v>46177</v>
      </c>
      <c r="B9" t="s">
        <v>8</v>
      </c>
      <c r="C9" t="s">
        <v>36</v>
      </c>
      <c r="D9">
        <v>890</v>
      </c>
      <c r="E9">
        <v>29</v>
      </c>
      <c r="F9">
        <v>890</v>
      </c>
      <c r="G9">
        <v>890</v>
      </c>
      <c r="H9">
        <v>305</v>
      </c>
      <c r="I9" s="5">
        <v>0.34300000000000003</v>
      </c>
      <c r="J9">
        <v>163</v>
      </c>
      <c r="K9" s="5">
        <v>0.183</v>
      </c>
      <c r="L9">
        <v>4</v>
      </c>
      <c r="M9" s="5">
        <v>4.4999999999999997E-3</v>
      </c>
      <c r="N9">
        <v>0</v>
      </c>
      <c r="O9" s="6">
        <v>0</v>
      </c>
    </row>
    <row r="10" spans="1:15" x14ac:dyDescent="0.2">
      <c r="A10" s="7">
        <v>46177</v>
      </c>
      <c r="B10" t="s">
        <v>30</v>
      </c>
      <c r="C10" t="s">
        <v>31</v>
      </c>
      <c r="D10">
        <v>3</v>
      </c>
      <c r="F10">
        <v>3</v>
      </c>
      <c r="G10">
        <v>3</v>
      </c>
      <c r="J10">
        <v>1</v>
      </c>
      <c r="K10" s="5">
        <v>0.33300000000000002</v>
      </c>
      <c r="L10">
        <v>0</v>
      </c>
      <c r="M10" s="6">
        <v>0</v>
      </c>
    </row>
    <row r="11" spans="1:15" x14ac:dyDescent="0.2">
      <c r="A11" s="7">
        <v>46177</v>
      </c>
      <c r="B11" t="s">
        <v>32</v>
      </c>
      <c r="C11" t="s">
        <v>33</v>
      </c>
      <c r="D11">
        <v>40</v>
      </c>
      <c r="F11">
        <v>40</v>
      </c>
      <c r="G11">
        <f>40*0.975</f>
        <v>39</v>
      </c>
      <c r="J11">
        <v>14</v>
      </c>
      <c r="K11" s="5">
        <v>0.35899999999999999</v>
      </c>
      <c r="L11">
        <v>0</v>
      </c>
      <c r="M11" s="6">
        <v>0</v>
      </c>
    </row>
    <row r="12" spans="1:15" x14ac:dyDescent="0.2">
      <c r="A12" s="7">
        <v>46184</v>
      </c>
      <c r="B12" t="s">
        <v>6</v>
      </c>
      <c r="C12" t="s">
        <v>39</v>
      </c>
      <c r="D12">
        <v>72</v>
      </c>
      <c r="E12">
        <v>3</v>
      </c>
      <c r="F12">
        <v>72</v>
      </c>
      <c r="G12">
        <v>72</v>
      </c>
      <c r="H12">
        <v>49</v>
      </c>
      <c r="I12" s="5">
        <v>0.68100000000000005</v>
      </c>
      <c r="J12">
        <v>12</v>
      </c>
      <c r="K12" s="5">
        <v>0.16700000000000001</v>
      </c>
      <c r="L12">
        <v>0</v>
      </c>
      <c r="M12" s="6">
        <v>0</v>
      </c>
      <c r="N12">
        <v>0</v>
      </c>
      <c r="O12" s="6">
        <v>0</v>
      </c>
    </row>
    <row r="13" spans="1:15" x14ac:dyDescent="0.2">
      <c r="A13" s="7">
        <v>46184</v>
      </c>
      <c r="B13" t="s">
        <v>7</v>
      </c>
      <c r="C13" t="s">
        <v>37</v>
      </c>
      <c r="D13">
        <v>113</v>
      </c>
      <c r="E13">
        <v>4</v>
      </c>
      <c r="F13">
        <v>113</v>
      </c>
      <c r="G13">
        <v>113</v>
      </c>
      <c r="H13">
        <v>35</v>
      </c>
      <c r="I13" s="6">
        <v>0.31</v>
      </c>
      <c r="J13">
        <v>4</v>
      </c>
      <c r="K13" s="5">
        <v>3.5000000000000003E-2</v>
      </c>
      <c r="L13">
        <v>0</v>
      </c>
      <c r="M13" s="6">
        <v>0</v>
      </c>
      <c r="N13">
        <v>0</v>
      </c>
      <c r="O13" s="6">
        <v>0</v>
      </c>
    </row>
    <row r="14" spans="1:15" x14ac:dyDescent="0.2">
      <c r="A14" s="7">
        <v>46184</v>
      </c>
      <c r="B14" t="s">
        <v>8</v>
      </c>
      <c r="C14" t="s">
        <v>38</v>
      </c>
      <c r="D14">
        <v>895</v>
      </c>
      <c r="E14">
        <v>9</v>
      </c>
      <c r="F14">
        <v>895</v>
      </c>
      <c r="G14">
        <v>895</v>
      </c>
      <c r="H14">
        <v>280</v>
      </c>
      <c r="I14" s="5">
        <v>0.313</v>
      </c>
      <c r="J14">
        <v>50</v>
      </c>
      <c r="K14" s="5">
        <v>5.6000000000000001E-2</v>
      </c>
      <c r="L14">
        <v>8</v>
      </c>
      <c r="M14" s="5">
        <v>8.8999999999999999E-3</v>
      </c>
      <c r="N14">
        <v>0</v>
      </c>
      <c r="O14" s="6">
        <v>0</v>
      </c>
    </row>
    <row r="15" spans="1:15" x14ac:dyDescent="0.2">
      <c r="A15" s="7">
        <v>46185</v>
      </c>
      <c r="B15" t="s">
        <v>30</v>
      </c>
      <c r="C15" t="s">
        <v>31</v>
      </c>
      <c r="D15">
        <v>2</v>
      </c>
      <c r="F15">
        <v>2</v>
      </c>
      <c r="G15">
        <v>2</v>
      </c>
      <c r="J15">
        <v>0</v>
      </c>
      <c r="K15" s="6">
        <v>0</v>
      </c>
      <c r="L15">
        <v>0</v>
      </c>
      <c r="M15" s="6">
        <v>0</v>
      </c>
    </row>
    <row r="16" spans="1:15" x14ac:dyDescent="0.2">
      <c r="A16" s="7">
        <v>46185</v>
      </c>
      <c r="B16" t="s">
        <v>32</v>
      </c>
      <c r="C16" t="s">
        <v>33</v>
      </c>
      <c r="D16">
        <v>36</v>
      </c>
      <c r="F16">
        <v>36</v>
      </c>
      <c r="G16">
        <v>36</v>
      </c>
      <c r="J16">
        <v>14</v>
      </c>
      <c r="K16" s="5">
        <v>0.38900000000000001</v>
      </c>
      <c r="L16">
        <v>0</v>
      </c>
      <c r="M16" s="6">
        <v>0</v>
      </c>
    </row>
    <row r="17" spans="1:15" x14ac:dyDescent="0.2">
      <c r="A17" s="7">
        <v>46188</v>
      </c>
      <c r="B17" t="s">
        <v>32</v>
      </c>
      <c r="C17" t="s">
        <v>33</v>
      </c>
      <c r="D17">
        <v>10</v>
      </c>
      <c r="F17">
        <v>10</v>
      </c>
      <c r="G17">
        <v>10</v>
      </c>
      <c r="J17">
        <v>4</v>
      </c>
      <c r="K17" s="6">
        <v>0.4</v>
      </c>
      <c r="L17">
        <v>0</v>
      </c>
      <c r="M17" s="6">
        <v>0</v>
      </c>
    </row>
    <row r="18" spans="1:15" x14ac:dyDescent="0.2">
      <c r="A18" s="7">
        <v>46190</v>
      </c>
      <c r="B18" t="s">
        <v>30</v>
      </c>
      <c r="C18" t="s">
        <v>31</v>
      </c>
      <c r="D18">
        <v>1</v>
      </c>
      <c r="F18">
        <v>1</v>
      </c>
      <c r="G18">
        <v>1</v>
      </c>
      <c r="J18">
        <v>0</v>
      </c>
      <c r="K18" s="6">
        <v>0</v>
      </c>
      <c r="L18">
        <v>0</v>
      </c>
      <c r="M18" s="6">
        <v>0</v>
      </c>
    </row>
    <row r="19" spans="1:15" x14ac:dyDescent="0.2">
      <c r="A19" s="7">
        <v>46190</v>
      </c>
      <c r="B19" t="s">
        <v>32</v>
      </c>
      <c r="C19" t="s">
        <v>33</v>
      </c>
      <c r="D19">
        <v>7</v>
      </c>
      <c r="F19">
        <v>7</v>
      </c>
      <c r="G19">
        <v>7</v>
      </c>
      <c r="J19">
        <v>0</v>
      </c>
      <c r="K19" s="6">
        <v>0</v>
      </c>
      <c r="L19">
        <v>0</v>
      </c>
      <c r="M19" s="6">
        <v>0</v>
      </c>
    </row>
    <row r="20" spans="1:15" s="9" customFormat="1" x14ac:dyDescent="0.2">
      <c r="A20" s="8">
        <v>46191</v>
      </c>
      <c r="B20" s="9" t="s">
        <v>6</v>
      </c>
      <c r="C20" s="9" t="s">
        <v>42</v>
      </c>
      <c r="D20" s="9">
        <v>72</v>
      </c>
      <c r="E20" s="9">
        <v>0</v>
      </c>
      <c r="F20" s="9">
        <v>72</v>
      </c>
      <c r="G20" s="9">
        <v>72</v>
      </c>
      <c r="H20" s="9">
        <v>48</v>
      </c>
      <c r="I20" s="10">
        <v>0.66700000000000004</v>
      </c>
      <c r="J20" s="9">
        <v>22</v>
      </c>
      <c r="K20" s="10">
        <v>0.30599999999999999</v>
      </c>
      <c r="L20" s="9">
        <v>0</v>
      </c>
      <c r="M20" s="11">
        <v>0</v>
      </c>
      <c r="N20" s="9">
        <v>0</v>
      </c>
      <c r="O20" s="11">
        <v>0</v>
      </c>
    </row>
    <row r="21" spans="1:15" s="9" customFormat="1" x14ac:dyDescent="0.2">
      <c r="A21" s="8">
        <v>46191</v>
      </c>
      <c r="B21" s="9" t="s">
        <v>7</v>
      </c>
      <c r="C21" s="9" t="s">
        <v>41</v>
      </c>
      <c r="D21" s="9">
        <v>84</v>
      </c>
      <c r="E21" s="9">
        <v>-29</v>
      </c>
      <c r="F21" s="9">
        <v>84</v>
      </c>
      <c r="G21" s="9">
        <v>84</v>
      </c>
      <c r="H21" s="9">
        <v>17</v>
      </c>
      <c r="I21" s="10">
        <v>0.20200000000000001</v>
      </c>
      <c r="J21" s="9">
        <v>7</v>
      </c>
      <c r="K21" s="10">
        <v>8.3000000000000004E-2</v>
      </c>
      <c r="L21" s="9">
        <v>0</v>
      </c>
      <c r="M21" s="11">
        <v>0</v>
      </c>
      <c r="N21" s="9">
        <v>0</v>
      </c>
      <c r="O21" s="11">
        <v>0</v>
      </c>
    </row>
    <row r="22" spans="1:15" s="9" customFormat="1" x14ac:dyDescent="0.2">
      <c r="A22" s="8">
        <v>46191</v>
      </c>
      <c r="B22" s="9" t="s">
        <v>8</v>
      </c>
      <c r="C22" s="9" t="s">
        <v>40</v>
      </c>
      <c r="D22" s="9">
        <v>911</v>
      </c>
      <c r="E22" s="9">
        <v>16</v>
      </c>
      <c r="F22" s="9">
        <v>911</v>
      </c>
      <c r="G22" s="9">
        <v>911</v>
      </c>
      <c r="H22" s="9">
        <v>308</v>
      </c>
      <c r="I22" s="10">
        <v>0.33800000000000002</v>
      </c>
      <c r="J22" s="9">
        <v>81</v>
      </c>
      <c r="K22" s="10">
        <v>8.8999999999999996E-2</v>
      </c>
      <c r="L22" s="9">
        <v>9</v>
      </c>
      <c r="M22" s="10">
        <v>8.8000000000000005E-3</v>
      </c>
      <c r="N22" s="9">
        <v>0</v>
      </c>
      <c r="O22" s="11">
        <v>0</v>
      </c>
    </row>
    <row r="23" spans="1:15" s="9" customFormat="1" x14ac:dyDescent="0.2">
      <c r="A23" s="8">
        <v>46192</v>
      </c>
      <c r="B23" s="9" t="s">
        <v>30</v>
      </c>
      <c r="C23" s="9" t="s">
        <v>31</v>
      </c>
      <c r="D23" s="9">
        <v>1</v>
      </c>
      <c r="F23" s="9">
        <v>1</v>
      </c>
      <c r="G23" s="9">
        <v>1</v>
      </c>
      <c r="J23" s="9">
        <v>0</v>
      </c>
      <c r="K23" s="11">
        <v>0</v>
      </c>
      <c r="L23" s="9">
        <v>0</v>
      </c>
      <c r="M23" s="11">
        <v>0</v>
      </c>
    </row>
    <row r="24" spans="1:15" s="9" customFormat="1" x14ac:dyDescent="0.2">
      <c r="A24" s="8">
        <v>46192</v>
      </c>
      <c r="B24" s="9" t="s">
        <v>32</v>
      </c>
      <c r="C24" s="9" t="s">
        <v>33</v>
      </c>
      <c r="D24" s="9">
        <v>9</v>
      </c>
      <c r="F24" s="9">
        <v>9</v>
      </c>
      <c r="G24" s="9">
        <v>9</v>
      </c>
      <c r="J24" s="9">
        <v>4</v>
      </c>
      <c r="K24" s="10">
        <v>0.44400000000000001</v>
      </c>
      <c r="L24" s="9">
        <v>0</v>
      </c>
      <c r="M24" s="11">
        <v>0</v>
      </c>
    </row>
    <row r="25" spans="1:15" s="9" customFormat="1" x14ac:dyDescent="0.2">
      <c r="A25" s="8">
        <v>46195</v>
      </c>
      <c r="B25" s="9" t="s">
        <v>30</v>
      </c>
      <c r="C25" s="9" t="s">
        <v>31</v>
      </c>
      <c r="D25" s="9">
        <v>3</v>
      </c>
      <c r="F25" s="9">
        <v>3</v>
      </c>
      <c r="G25" s="9">
        <v>3</v>
      </c>
      <c r="J25" s="9">
        <v>1</v>
      </c>
      <c r="K25" s="10">
        <v>0.33300000000000002</v>
      </c>
      <c r="L25" s="9">
        <v>0</v>
      </c>
      <c r="M25" s="11">
        <v>0</v>
      </c>
    </row>
    <row r="26" spans="1:15" s="9" customFormat="1" x14ac:dyDescent="0.2">
      <c r="A26" s="8">
        <v>46195</v>
      </c>
      <c r="B26" s="9" t="s">
        <v>32</v>
      </c>
      <c r="C26" s="9" t="s">
        <v>33</v>
      </c>
      <c r="D26" s="9">
        <v>9</v>
      </c>
      <c r="F26" s="9">
        <v>9</v>
      </c>
      <c r="G26" s="9">
        <v>8</v>
      </c>
      <c r="J26" s="9">
        <f>8*37.5%</f>
        <v>3</v>
      </c>
      <c r="K26" s="10">
        <v>0.375</v>
      </c>
      <c r="L26" s="9">
        <v>0</v>
      </c>
      <c r="M26" s="11">
        <v>0</v>
      </c>
    </row>
    <row r="27" spans="1:15" s="9" customFormat="1" x14ac:dyDescent="0.2">
      <c r="A27" s="8">
        <v>46197</v>
      </c>
      <c r="B27" s="9" t="s">
        <v>32</v>
      </c>
      <c r="C27" s="9" t="s">
        <v>33</v>
      </c>
      <c r="D27" s="9">
        <v>6</v>
      </c>
      <c r="F27" s="9">
        <v>6</v>
      </c>
      <c r="G27" s="9">
        <v>5</v>
      </c>
      <c r="J27" s="9">
        <v>1</v>
      </c>
      <c r="K27" s="11">
        <v>0.2</v>
      </c>
      <c r="L27" s="9">
        <v>0</v>
      </c>
      <c r="M27" s="11">
        <v>0</v>
      </c>
    </row>
    <row r="28" spans="1:15" x14ac:dyDescent="0.2">
      <c r="A28" s="7">
        <v>46198</v>
      </c>
      <c r="B28" t="s">
        <v>6</v>
      </c>
      <c r="C28" t="s">
        <v>43</v>
      </c>
      <c r="D28">
        <v>76</v>
      </c>
      <c r="E28">
        <v>4</v>
      </c>
      <c r="F28">
        <v>76</v>
      </c>
      <c r="G28">
        <v>76</v>
      </c>
    </row>
    <row r="29" spans="1:15" x14ac:dyDescent="0.2">
      <c r="A29" s="7">
        <v>46198</v>
      </c>
      <c r="B29" t="s">
        <v>7</v>
      </c>
      <c r="C29" t="s">
        <v>44</v>
      </c>
      <c r="D29">
        <v>118</v>
      </c>
      <c r="E29">
        <f>118-84</f>
        <v>34</v>
      </c>
      <c r="F29">
        <v>118</v>
      </c>
      <c r="G29">
        <v>118</v>
      </c>
    </row>
    <row r="30" spans="1:15" x14ac:dyDescent="0.2">
      <c r="A30" s="7">
        <v>46198</v>
      </c>
      <c r="B30" t="s">
        <v>8</v>
      </c>
      <c r="C30" t="s">
        <v>45</v>
      </c>
      <c r="D30">
        <v>922</v>
      </c>
      <c r="E30">
        <v>11</v>
      </c>
      <c r="F30">
        <v>922</v>
      </c>
      <c r="G30">
        <v>922</v>
      </c>
    </row>
    <row r="31" spans="1:15" x14ac:dyDescent="0.2">
      <c r="A31" s="7">
        <v>46199</v>
      </c>
      <c r="B31" t="s">
        <v>32</v>
      </c>
      <c r="C31" t="s">
        <v>33</v>
      </c>
      <c r="D31">
        <v>6</v>
      </c>
    </row>
  </sheetData>
  <autoFilter ref="A1:M4" xr:uid="{00000000-0009-0000-0000-000000000000}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90" customWidth="1"/>
  </cols>
  <sheetData>
    <row r="1" spans="1:2" ht="16" x14ac:dyDescent="0.2">
      <c r="A1" s="2" t="s">
        <v>9</v>
      </c>
      <c r="B1" s="2" t="s">
        <v>10</v>
      </c>
    </row>
    <row r="2" spans="1:2" ht="16" x14ac:dyDescent="0.2">
      <c r="A2" s="3" t="s">
        <v>0</v>
      </c>
      <c r="B2" s="3" t="s">
        <v>11</v>
      </c>
    </row>
    <row r="3" spans="1:2" ht="16" x14ac:dyDescent="0.2">
      <c r="A3" s="3" t="s">
        <v>1</v>
      </c>
      <c r="B3" s="3" t="s">
        <v>12</v>
      </c>
    </row>
    <row r="4" spans="1:2" ht="16" x14ac:dyDescent="0.2">
      <c r="A4" s="3" t="s">
        <v>2</v>
      </c>
      <c r="B4" s="3" t="s">
        <v>13</v>
      </c>
    </row>
    <row r="5" spans="1:2" ht="16" x14ac:dyDescent="0.2">
      <c r="A5" s="3" t="s">
        <v>3</v>
      </c>
      <c r="B5" s="3" t="s">
        <v>14</v>
      </c>
    </row>
    <row r="6" spans="1:2" ht="16" x14ac:dyDescent="0.2">
      <c r="A6" s="3" t="s">
        <v>4</v>
      </c>
      <c r="B6" s="3" t="s">
        <v>15</v>
      </c>
    </row>
    <row r="7" spans="1:2" ht="16" x14ac:dyDescent="0.2">
      <c r="A7" s="3" t="s">
        <v>5</v>
      </c>
      <c r="B7" s="3" t="s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audience_daily_snapshot</vt:lpstr>
      <vt:lpstr>field_notes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Serena Wang</cp:lastModifiedBy>
  <dcterms:created xsi:type="dcterms:W3CDTF">2026-06-01T02:07:48Z</dcterms:created>
  <dcterms:modified xsi:type="dcterms:W3CDTF">2026-06-26T02:09:13Z</dcterms:modified>
</cp:coreProperties>
</file>